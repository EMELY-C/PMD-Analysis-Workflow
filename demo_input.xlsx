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emo-input" sheetId="1" r:id="rId1"/>
    <sheet name="Sheet1" sheetId="2" r:id="rId2"/>
  </sheets>
  <definedNames>
    <definedName name="_xlnm._FilterDatabase" localSheetId="0" hidden="1">'demo-input'!$W$1:$X$23025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<sst xmlns="http://schemas.openxmlformats.org/spreadsheetml/2006/main" count="26" uniqueCount="26">
  <si>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Alignment ID</t>
  </si>
  <si>
    <t>Average Rt(min)</t>
  </si>
  <si>
    <t>Average Mz</t>
  </si>
  <si>
    <t>Metabolite name</t>
  </si>
  <si>
    <t>Adduct type</t>
  </si>
  <si>
    <t>S/N average</t>
  </si>
  <si>
    <t>Spectrum reference file name</t>
  </si>
  <si>
    <t>MS1 isotopic spectrum</t>
  </si>
  <si>
    <t>MS/MS spectrum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</si>
  <si>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</si>
  <si>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</si>
  <si>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</si>
  <si>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</si>
  <si>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</si>
  <si>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</si>
  <si>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</si>
  <si>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</si>
  <si>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</si>
  <si>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</si>
  <si>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</si>
  <si>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</si>
  <si>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</si>
  <si>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Unknown</t>
  </si>
  <si>
    <t>[M-H]-</t>
  </si>
  <si>
    <t>100.93363:106415344 101.93830:0 102.94297:0</t>
  </si>
  <si>
    <t>57.03460:274874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</si>
</sst>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zoomScaleSheetLayoutView="60" workbookViewId="0">
      <selection activeCell="I5" sqref="I5"/>
    </sheetView>
  </sheetViews>
  <sheetFormatPr defaultColWidth="15.625" defaultRowHeight="13.5" outlineLevelRow="1"/>
  <cols>
    <col min="1" max="18" width="15.625" customWidth="1"/>
    <col min="19" max="24" width="15.625" style="1" customWidth="1"/>
    <col min="25" max="16384" width="15.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176</v>
      </c>
      <c r="B2">
        <v>28.784</v>
      </c>
      <c r="C2">
        <v>100.93363</v>
      </c>
      <c r="D2" t="s">
        <v>22</v>
      </c>
      <c r="E2" t="s">
        <v>23</v>
      </c>
      <c r="F2">
        <v>90.01</v>
      </c>
      <c r="G2"/>
      <c r="H2" t="s">
        <v>24</v>
      </c>
      <c r="I2" t="s">
        <v>25</v>
      </c>
      <c r="J2">
        <v>2952915634</v>
      </c>
      <c r="K2">
        <v>2826074526</v>
      </c>
      <c r="L2">
        <v>2651506066</v>
      </c>
      <c r="M2">
        <v>822986247</v>
      </c>
      <c r="N2">
        <v>1314936532</v>
      </c>
      <c r="O2">
        <v>2278298314</v>
      </c>
      <c r="P2">
        <v>35987892</v>
      </c>
      <c r="Q2">
        <v>16615327</v>
      </c>
      <c r="R2">
        <v>2146371</v>
      </c>
      <c r="S2" s="1">
        <f>AVERAGE(P2:R2)</f>
        <v>18249863.3333333</v>
      </c>
      <c r="T2" s="1">
        <f>J2-$S2</f>
        <v>2934665770.66667</v>
      </c>
      <c r="U2" s="1">
        <f>K2-$S2</f>
        <v>2807824662.66667</v>
      </c>
      <c r="V2" s="1">
        <f>L2-$S2</f>
        <v>2633256202.66667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demo-input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</cp:lastModifiedBy>
  <dcterms:created xsi:type="dcterms:W3CDTF">2025-07-23T06:32:00Z</dcterms:created>
  <dcterms:modified xsi:type="dcterms:W3CDTF">2026-01-09T10:50:11Z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8D5FD0C605EC43359FF086674A32DC2F_13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